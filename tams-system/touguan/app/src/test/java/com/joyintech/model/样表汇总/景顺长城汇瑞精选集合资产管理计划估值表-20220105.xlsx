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00其他重要需求\001 3.0版本需求SVN\03.综合信披相关文档\项目需求\估值表穿透\估值表样式\样表2\"/>
    </mc:Choice>
  </mc:AlternateContent>
  <bookViews>
    <workbookView xWindow="0" yWindow="0" windowWidth="28800" windowHeight="11625"/>
  </bookViews>
  <sheets>
    <sheet name="Sheet1" sheetId="1" r:id="rId1"/>
    <sheet name="字段说明" sheetId="2" r:id="rId2"/>
  </sheets>
  <definedNames>
    <definedName name="_09d75b701d9a4185a4354fd7196a6f4b" comment="SSRRANGE" hidden="1">Sheet1!$P$8:$P$67</definedName>
    <definedName name="_0c2ffa9f52ee41928b80f73a8e619e5b" comment="SSRRANGE" hidden="1">Sheet1!$L$8:$L$67</definedName>
    <definedName name="_169d4960740d400681d0c0db3d0a12c9" comment="SSRRANGE" hidden="1">Sheet1!$Q$8:$Q$67</definedName>
    <definedName name="_269625133a874ca494ad289544a1d17a" comment="SSRRANGE" hidden="1">Sheet1!$M$8:$M$67</definedName>
    <definedName name="_27df7cac9e1b42fe82e4e079cfcfb387" comment="SSRRANGE" hidden="1">Sheet1!$H$8:$H$67</definedName>
    <definedName name="_2879e9272c824f0891de4f6c3c914300" comment="SSRRANGE" hidden="1">Sheet1!$O$8:$O$67</definedName>
    <definedName name="_573c83657bed4ad69b1fb6567abc0c70" comment="SSRRANGE" hidden="1">Sheet1!$G$8:$G$67</definedName>
    <definedName name="_610c22fc236e4ce18c77216ac2e4d106" comment="SSRRANGE" hidden="1">Sheet1!$D$8:$D$67</definedName>
    <definedName name="_6e9a806b46c0428cb2be80ec80ad0c54" hidden="1">Sheet1!$R$8:$R$67</definedName>
    <definedName name="_714814a1f25b4570bbaeacd0c2b1a0d6" comment="SSRRANGE" hidden="1">Sheet1!$B$8:$B$67</definedName>
    <definedName name="_818efdfe85fa4a40aa096ba3d5fe06d9" comment="SSRRANGE" hidden="1">Sheet1!$A$8:$A$67</definedName>
    <definedName name="_8fc3628c344b4ce28cc7f7024a8176ad" comment="SSRRANGE" hidden="1">Sheet1!$F$8:$F$67</definedName>
    <definedName name="_93b28078292a4125a36c34bce71b5e10" comment="SSRRANGE" hidden="1">Sheet1!$C$8:$C$67</definedName>
    <definedName name="_9e4940171eac43a2a70637ced35827f3" comment="SSRRANGE" hidden="1">Sheet1!$I$8:$I$67</definedName>
    <definedName name="_b5dede926bd84834a66bdfb374b0c77d" comment="SSRRANGE" hidden="1">Sheet1!$J$8:$J$67</definedName>
    <definedName name="_b9473d8bb0b642cf8d54217b4dbc1eb4" comment="SSRRANGE" hidden="1">Sheet1!$E$8:$E$67</definedName>
    <definedName name="_d3a83267b19547bfa04775ee58040161" comment="SSRRANGE" hidden="1">Sheet1!$N$8:$N$67</definedName>
    <definedName name="_d75ebcf7ab57452dbda2f80932b5e219" comment="SSRRANGE" hidden="1">Sheet1!$K$8:$K$67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A4" i="1"/>
  <c r="R1" i="1"/>
  <c r="A1" i="1"/>
</calcChain>
</file>

<file path=xl/sharedStrings.xml><?xml version="1.0" encoding="utf-8"?>
<sst xmlns="http://schemas.openxmlformats.org/spreadsheetml/2006/main" count="234" uniqueCount="171">
  <si>
    <t>基金名称</t>
  </si>
  <si>
    <t>单位净值日涨幅</t>
  </si>
  <si>
    <t>当日增加份额</t>
  </si>
  <si>
    <t>当日减少份额</t>
  </si>
  <si>
    <t>累计单位净值</t>
  </si>
  <si>
    <t>累计净值日涨幅</t>
  </si>
  <si>
    <t>昨日总份额</t>
  </si>
  <si>
    <t>昨日总资产</t>
  </si>
  <si>
    <t>20170203</t>
  </si>
  <si>
    <t>囯硕玄德择时对冲2号私募基金</t>
  </si>
  <si>
    <t xml:space="preserve"> NUM.00</t>
  </si>
  <si>
    <r>
      <t xml:space="preserve"> </t>
    </r>
    <r>
      <rPr>
        <sz val="10"/>
        <color rgb="FF339966"/>
        <rFont val="Arial"/>
        <family val="2"/>
      </rPr>
      <t>NUM.00</t>
    </r>
  </si>
  <si>
    <r>
      <t xml:space="preserve">       </t>
    </r>
    <r>
      <rPr>
        <sz val="10"/>
        <color rgb="FF339966"/>
        <rFont val="Arial"/>
        <family val="2"/>
      </rPr>
      <t xml:space="preserve"> NUM.00</t>
    </r>
  </si>
  <si>
    <r>
      <t xml:space="preserve"> </t>
    </r>
    <r>
      <rPr>
        <sz val="11"/>
        <color rgb="FF339966"/>
        <rFont val="宋体"/>
        <family val="2"/>
        <charset val="134"/>
        <scheme val="minor"/>
      </rPr>
      <t>NUM.00</t>
    </r>
  </si>
  <si>
    <r>
      <t xml:space="preserve">       </t>
    </r>
    <r>
      <rPr>
        <sz val="11"/>
        <color rgb="FF339966"/>
        <rFont val="宋体"/>
        <family val="2"/>
        <charset val="134"/>
        <scheme val="minor"/>
      </rPr>
      <t xml:space="preserve"> NUM.00</t>
    </r>
  </si>
  <si>
    <r>
      <rPr>
        <sz val="11"/>
        <color rgb="FF339966"/>
        <rFont val="宋体"/>
        <family val="3"/>
        <charset val="134"/>
      </rPr>
      <t>囯硕玄德择时对冲</t>
    </r>
    <r>
      <rPr>
        <sz val="11"/>
        <color rgb="FF339966"/>
        <rFont val="Arial"/>
        <family val="2"/>
      </rPr>
      <t>2</t>
    </r>
    <r>
      <rPr>
        <sz val="11"/>
        <color rgb="FF339966"/>
        <rFont val="宋体"/>
        <family val="3"/>
        <charset val="134"/>
      </rPr>
      <t>号私募基金</t>
    </r>
  </si>
  <si>
    <r>
      <t xml:space="preserve"> </t>
    </r>
    <r>
      <rPr>
        <sz val="11"/>
        <color theme="1"/>
        <rFont val="Arial"/>
        <family val="2"/>
      </rPr>
      <t>NUM.00</t>
    </r>
  </si>
  <si>
    <t xml:space="preserve">        NUM.00</t>
  </si>
  <si>
    <t>科目代码</t>
  </si>
  <si>
    <r>
      <rPr>
        <sz val="9"/>
        <color indexed="8"/>
        <rFont val="宋体"/>
        <family val="3"/>
        <charset val="134"/>
      </rPr>
      <t>科目名称</t>
    </r>
  </si>
  <si>
    <r>
      <rPr>
        <sz val="9"/>
        <color indexed="8"/>
        <rFont val="宋体"/>
        <family val="3"/>
        <charset val="134"/>
      </rPr>
      <t>数量</t>
    </r>
  </si>
  <si>
    <r>
      <rPr>
        <sz val="9"/>
        <color indexed="8"/>
        <rFont val="宋体"/>
        <family val="3"/>
        <charset val="134"/>
      </rPr>
      <t>单位成本</t>
    </r>
  </si>
  <si>
    <r>
      <rPr>
        <sz val="9"/>
        <color indexed="8"/>
        <rFont val="宋体"/>
        <family val="3"/>
        <charset val="134"/>
      </rPr>
      <t>交易场所</t>
    </r>
  </si>
  <si>
    <r>
      <rPr>
        <sz val="9"/>
        <color indexed="8"/>
        <rFont val="宋体"/>
        <family val="3"/>
        <charset val="134"/>
      </rPr>
      <t>投资类型</t>
    </r>
  </si>
  <si>
    <r>
      <rPr>
        <sz val="9"/>
        <color indexed="8"/>
        <rFont val="宋体"/>
        <family val="3"/>
        <charset val="134"/>
      </rPr>
      <t>成本</t>
    </r>
  </si>
  <si>
    <r>
      <rPr>
        <sz val="9"/>
        <color indexed="8"/>
        <rFont val="宋体"/>
        <family val="3"/>
        <charset val="134"/>
      </rPr>
      <t>成本占比</t>
    </r>
  </si>
  <si>
    <r>
      <rPr>
        <sz val="9"/>
        <color indexed="8"/>
        <rFont val="宋体"/>
        <family val="3"/>
        <charset val="134"/>
      </rPr>
      <t>行情价格</t>
    </r>
  </si>
  <si>
    <r>
      <rPr>
        <sz val="9"/>
        <color indexed="8"/>
        <rFont val="宋体"/>
        <family val="3"/>
        <charset val="134"/>
      </rPr>
      <t>市值</t>
    </r>
  </si>
  <si>
    <r>
      <rPr>
        <sz val="9"/>
        <color indexed="8"/>
        <rFont val="宋体"/>
        <family val="3"/>
        <charset val="134"/>
      </rPr>
      <t>市值占比</t>
    </r>
  </si>
  <si>
    <r>
      <rPr>
        <sz val="9"/>
        <color indexed="8"/>
        <rFont val="宋体"/>
        <family val="3"/>
        <charset val="134"/>
      </rPr>
      <t>估值增值</t>
    </r>
  </si>
  <si>
    <r>
      <rPr>
        <sz val="9"/>
        <color indexed="8"/>
        <rFont val="宋体"/>
        <family val="3"/>
        <charset val="134"/>
      </rPr>
      <t>停牌信息</t>
    </r>
  </si>
  <si>
    <r>
      <rPr>
        <sz val="9"/>
        <color indexed="8"/>
        <rFont val="宋体"/>
        <family val="3"/>
        <charset val="134"/>
      </rPr>
      <t>发行代码</t>
    </r>
  </si>
  <si>
    <r>
      <rPr>
        <sz val="9"/>
        <color indexed="8"/>
        <rFont val="宋体"/>
        <family val="3"/>
        <charset val="134"/>
      </rPr>
      <t>囯硕玄德择时对冲</t>
    </r>
    <r>
      <rPr>
        <sz val="9"/>
        <color indexed="8"/>
        <rFont val="Arial"/>
        <family val="2"/>
      </rPr>
      <t>2</t>
    </r>
    <r>
      <rPr>
        <sz val="9"/>
        <color indexed="8"/>
        <rFont val="宋体"/>
        <family val="3"/>
        <charset val="134"/>
      </rPr>
      <t>号私募基金</t>
    </r>
  </si>
  <si>
    <r>
      <rPr>
        <sz val="9"/>
        <color indexed="8"/>
        <rFont val="宋体"/>
        <family val="3"/>
        <charset val="134"/>
      </rPr>
      <t>本币</t>
    </r>
  </si>
  <si>
    <r>
      <rPr>
        <sz val="9"/>
        <color indexed="8"/>
        <rFont val="宋体"/>
        <family val="3"/>
        <charset val="134"/>
      </rPr>
      <t>原币</t>
    </r>
  </si>
  <si>
    <r>
      <rPr>
        <sz val="9"/>
        <color indexed="8"/>
        <rFont val="宋体"/>
        <family val="3"/>
        <charset val="134"/>
      </rPr>
      <t>正常交易</t>
    </r>
  </si>
  <si>
    <r>
      <rPr>
        <sz val="6"/>
        <color indexed="8"/>
        <rFont val="宋体"/>
        <family val="3"/>
        <charset val="134"/>
      </rPr>
      <t>十亿千百十万千百十元角分</t>
    </r>
  </si>
  <si>
    <t>%</t>
  </si>
  <si>
    <t>交易场所</t>
  </si>
  <si>
    <t>上交所</t>
  </si>
  <si>
    <t>深交所</t>
  </si>
  <si>
    <t>银行间</t>
  </si>
  <si>
    <t>场外</t>
  </si>
  <si>
    <t>其他</t>
  </si>
  <si>
    <t>投资类型</t>
  </si>
  <si>
    <t>C</t>
  </si>
  <si>
    <t>可交易</t>
  </si>
  <si>
    <t>S</t>
  </si>
  <si>
    <t>可供出售</t>
  </si>
  <si>
    <t>F</t>
  </si>
  <si>
    <t>持有到期</t>
  </si>
  <si>
    <t>贷款和应收款项</t>
  </si>
  <si>
    <t>a</t>
  </si>
  <si>
    <t>投机</t>
  </si>
  <si>
    <t>b</t>
  </si>
  <si>
    <t>套保</t>
  </si>
  <si>
    <t>c</t>
  </si>
  <si>
    <t>套利</t>
  </si>
  <si>
    <t>景顺长城基金管理有限公司_专用表</t>
  </si>
  <si>
    <t>原币</t>
  </si>
  <si>
    <t>本币</t>
  </si>
  <si>
    <t>原币</t>
  </si>
  <si>
    <t>1.0374</t>
  </si>
  <si>
    <t>1002</t>
  </si>
  <si>
    <t>货币资产</t>
  </si>
  <si>
    <t>1002.01</t>
  </si>
  <si>
    <t>活期存款</t>
  </si>
  <si>
    <t>1002.01.01</t>
  </si>
  <si>
    <t>银行存款</t>
  </si>
  <si>
    <t>1002.03</t>
  </si>
  <si>
    <t>应计活期存款利息</t>
  </si>
  <si>
    <t>1002.03.01</t>
  </si>
  <si>
    <t>应计利息_银行存款</t>
  </si>
  <si>
    <t>1021</t>
  </si>
  <si>
    <t>备付金</t>
  </si>
  <si>
    <t>1021.02</t>
  </si>
  <si>
    <t>最低备付金</t>
  </si>
  <si>
    <t>1021.02.01</t>
  </si>
  <si>
    <t>上交所最低备付金</t>
  </si>
  <si>
    <t>1021.02.01.02</t>
  </si>
  <si>
    <t>应计利息_上交所最低备付金</t>
  </si>
  <si>
    <t>1031</t>
  </si>
  <si>
    <t>保证金</t>
  </si>
  <si>
    <t>1031.01</t>
  </si>
  <si>
    <t>交易保证金</t>
  </si>
  <si>
    <t>1031.01.01</t>
  </si>
  <si>
    <t>上交所交易保证金</t>
  </si>
  <si>
    <t>1031.01.01.01</t>
  </si>
  <si>
    <t>1031.01.01.02</t>
  </si>
  <si>
    <t>应计利息_上交所交易保证金</t>
  </si>
  <si>
    <t>1105</t>
  </si>
  <si>
    <t>交易性基金投资</t>
  </si>
  <si>
    <t>1105.15</t>
  </si>
  <si>
    <t>上交所_开放式_交易货币</t>
  </si>
  <si>
    <t>1105.15.01</t>
  </si>
  <si>
    <t>上交所_开放式_交易货币_成本</t>
  </si>
  <si>
    <t>1105.15.01.511660 SH</t>
  </si>
  <si>
    <t>建信现金添益货币H</t>
  </si>
  <si>
    <t>1</t>
  </si>
  <si>
    <t>【正常交易】</t>
  </si>
  <si>
    <t>511660</t>
  </si>
  <si>
    <t>1105.15.01.511810 SH</t>
  </si>
  <si>
    <t>南方理财金货币ETFH</t>
  </si>
  <si>
    <t>511810</t>
  </si>
  <si>
    <t>1105.15.01.511880 SH</t>
  </si>
  <si>
    <t>银华交易型货币A</t>
  </si>
  <si>
    <t>511880</t>
  </si>
  <si>
    <t>1105.15.01.511990 SH</t>
  </si>
  <si>
    <t>华宝添益货币A</t>
  </si>
  <si>
    <t>511990</t>
  </si>
  <si>
    <t>1205</t>
  </si>
  <si>
    <t>应收股利</t>
  </si>
  <si>
    <t>1205.06</t>
  </si>
  <si>
    <t>应收交易性基金红利</t>
  </si>
  <si>
    <t>1205.06.14</t>
  </si>
  <si>
    <t>应收基金红利_上交所_交易货币</t>
  </si>
  <si>
    <t>1205.06.14.511880 SH</t>
  </si>
  <si>
    <t>2206</t>
  </si>
  <si>
    <t>应付管理人报酬</t>
  </si>
  <si>
    <t>2206.01</t>
  </si>
  <si>
    <t>应付管理费</t>
  </si>
  <si>
    <t>2207</t>
  </si>
  <si>
    <t>应付托管费</t>
  </si>
  <si>
    <t>2207.01</t>
  </si>
  <si>
    <t>2209</t>
  </si>
  <si>
    <t>应付交易费用</t>
  </si>
  <si>
    <t>2209.01</t>
  </si>
  <si>
    <t>应付交易费用_佣金</t>
  </si>
  <si>
    <t>2209.01.01</t>
  </si>
  <si>
    <t>华泰证券</t>
  </si>
  <si>
    <t>2209.01.01.011835</t>
  </si>
  <si>
    <t>2501</t>
  </si>
  <si>
    <t>预提费用</t>
  </si>
  <si>
    <t>2501.03</t>
  </si>
  <si>
    <t>预提费用_审计费</t>
  </si>
  <si>
    <t>金融商品转让-计税基准</t>
  </si>
  <si>
    <t>0</t>
  </si>
  <si>
    <t>金融商品转让-待抵扣计税基准</t>
  </si>
  <si>
    <t xml:space="preserve">利息收入-计税基准 </t>
  </si>
  <si>
    <t>实收资本</t>
  </si>
  <si>
    <t>损益平准金-已实现</t>
  </si>
  <si>
    <t>损益平准金-未实现</t>
  </si>
  <si>
    <t>资产合计</t>
  </si>
  <si>
    <t>资产净值</t>
  </si>
  <si>
    <t>期初单位净值</t>
  </si>
  <si>
    <t>1.0375</t>
  </si>
  <si>
    <t>今日单位净值</t>
  </si>
  <si>
    <t>昨日单位净值</t>
  </si>
  <si>
    <t>累计派现金额</t>
  </si>
  <si>
    <t>0.0000</t>
  </si>
  <si>
    <t>日净值增长率</t>
  </si>
  <si>
    <t>0.0000%</t>
  </si>
  <si>
    <t>成立日开始的累计已实现收益</t>
  </si>
  <si>
    <t>79897.61</t>
  </si>
  <si>
    <t>本期净值增长率</t>
  </si>
  <si>
    <t>-0.0096%</t>
  </si>
  <si>
    <t>累计净值增长率</t>
  </si>
  <si>
    <t>3.74%</t>
  </si>
  <si>
    <t>实现收益</t>
  </si>
  <si>
    <t>292</t>
  </si>
  <si>
    <t>可分配收益</t>
  </si>
  <si>
    <t>76765.18</t>
  </si>
  <si>
    <t>单位可分配收益</t>
  </si>
  <si>
    <t>0.0374</t>
  </si>
  <si>
    <t>本季度净值增长率</t>
  </si>
  <si>
    <t>待抵扣负金融商品转让税</t>
  </si>
  <si>
    <t>待抵扣负估值增值暂估税</t>
  </si>
  <si>
    <t>-116.4</t>
  </si>
  <si>
    <t>其中北京预算最低备付金</t>
  </si>
  <si>
    <t>现金类占净值比</t>
  </si>
  <si>
    <t>20.99%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</si>
</sst>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#,##0.00_ "/>
    <numFmt numFmtId="177" formatCode="#,##0.00_ ;[Red]\-#,##0.00\ "/>
    <numFmt numFmtId="178" formatCode="0.00_ "/>
  </numFmts>
  <fonts count="18" x14ac:knownFonts="1"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sz val="9"/>
      <name val="宋体"/>
      <family val="2"/>
      <charset val="134"/>
      <scheme val="minor"/>
    </font>
    <font>
      <b/>
      <u/>
      <sz val="20"/>
      <color rgb="FF339966"/>
      <name val="宋体"/>
      <family val="3"/>
      <charset val="134"/>
    </font>
    <font>
      <sz val="10"/>
      <color rgb="FF339966"/>
      <name val="Arial"/>
      <family val="2"/>
    </font>
    <font>
      <sz val="9"/>
      <color indexed="8"/>
      <name val="宋体"/>
      <family val="3"/>
      <charset val="134"/>
    </font>
    <font>
      <sz val="6"/>
      <color indexed="8"/>
      <name val="宋体"/>
      <family val="3"/>
      <charset val="134"/>
    </font>
    <font>
      <sz val="10"/>
      <color indexed="8"/>
      <name val="Arial"/>
      <family val="2"/>
    </font>
    <font>
      <sz val="11"/>
      <color rgb="FF339933"/>
      <name val="宋体"/>
      <family val="2"/>
      <charset val="134"/>
      <scheme val="minor"/>
    </font>
    <font>
      <sz val="15"/>
      <color rgb="FF339966"/>
      <name val="宋体"/>
      <family val="3"/>
      <charset val="134"/>
    </font>
    <font>
      <sz val="11"/>
      <color rgb="FF339966"/>
      <name val="宋体"/>
      <family val="2"/>
      <charset val="134"/>
      <scheme val="minor"/>
    </font>
    <font>
      <sz val="11"/>
      <color indexed="17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sz val="6"/>
      <color indexed="8"/>
      <name val="Arial"/>
      <family val="2"/>
    </font>
    <font>
      <sz val="11"/>
      <color rgb="FF339966"/>
      <name val="Arial"/>
      <family val="2"/>
    </font>
    <font>
      <sz val="11"/>
      <color rgb="FF339966"/>
      <name val="宋体"/>
      <family val="3"/>
      <charset val="134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339966"/>
      </left>
      <right style="thin">
        <color rgb="FF339966"/>
      </right>
      <top style="thin">
        <color rgb="FF339966"/>
      </top>
      <bottom style="thin">
        <color rgb="FF339966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7" fillId="0" borderId="0" applyFont="0" applyFill="0" applyBorder="0" applyProtection="0"/>
    <xf numFmtId="0" fontId="17" fillId="0" borderId="0">
      <alignment vertical="center"/>
    </xf>
  </cellStyleXfs>
  <cellXfs count="26">
    <xf numFmtId="0" fontId="0" fillId="0" borderId="0" xfId="0" applyAlignment="1">
      <alignment vertical="center"/>
    </xf>
    <xf numFmtId="0" fontId="13" fillId="0" borderId="1" xfId="7" applyFont="1" applyBorder="1" applyAlignment="1">
      <alignment horizontal="center" vertical="center" wrapText="1"/>
    </xf>
    <xf numFmtId="0" fontId="5" fillId="0" borderId="1" xfId="7" applyFont="1" applyBorder="1" applyAlignment="1">
      <alignment horizontal="center" vertical="center"/>
    </xf>
    <xf numFmtId="0" fontId="15" fillId="0" borderId="3" xfId="7" applyFont="1" applyBorder="1" applyAlignment="1">
      <alignment horizontal="right" vertical="center"/>
    </xf>
    <xf numFmtId="0" fontId="11" fillId="0" borderId="3" xfId="7" applyFont="1" applyBorder="1" applyAlignment="1">
      <alignment horizontal="right" vertical="center"/>
    </xf>
    <xf numFmtId="0" fontId="15" fillId="0" borderId="3" xfId="7" applyFont="1" applyBorder="1" applyAlignment="1">
      <alignment horizontal="left" vertical="center"/>
    </xf>
    <xf numFmtId="0" fontId="9" fillId="0" borderId="2" xfId="7" applyFont="1" applyBorder="1" applyAlignment="1">
      <alignment horizontal="center" vertical="center"/>
    </xf>
    <xf numFmtId="0" fontId="3" fillId="0" borderId="2" xfId="7" applyFont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0" fillId="0" borderId="2" xfId="7" applyFont="1" applyBorder="1" applyAlignment="1"/>
    <xf numFmtId="0" fontId="1" fillId="0" borderId="1" xfId="7" applyFont="1" applyBorder="1" applyAlignment="1">
      <alignment horizontal="left" vertical="center" wrapText="1"/>
    </xf>
    <xf numFmtId="176" fontId="7" fillId="0" borderId="1" xfId="7" applyNumberFormat="1" applyFont="1" applyBorder="1" applyAlignment="1">
      <alignment horizontal="right" vertical="center" wrapText="1"/>
    </xf>
    <xf numFmtId="177" fontId="7" fillId="0" borderId="1" xfId="7" applyNumberFormat="1" applyFont="1" applyBorder="1" applyAlignment="1">
      <alignment horizontal="right" vertical="center" wrapText="1"/>
    </xf>
    <xf numFmtId="0" fontId="7" fillId="0" borderId="1" xfId="7" applyFont="1" applyBorder="1" applyAlignment="1">
      <alignment horizontal="left" vertical="center" wrapText="1"/>
    </xf>
    <xf numFmtId="0" fontId="1" fillId="0" borderId="1" xfId="7" applyFont="1" applyBorder="1" applyAlignment="1">
      <alignment horizontal="center" vertical="center" wrapText="1"/>
    </xf>
    <xf numFmtId="178" fontId="1" fillId="0" borderId="1" xfId="6" applyNumberFormat="1" applyFont="1" applyBorder="1" applyAlignment="1">
      <alignment horizontal="right" vertical="center" wrapText="1"/>
    </xf>
    <xf numFmtId="0" fontId="8" fillId="0" borderId="2" xfId="7" applyFont="1" applyBorder="1" applyAlignment="1"/>
    <xf numFmtId="0" fontId="12" fillId="0" borderId="3" xfId="7" applyFont="1" applyBorder="1" applyAlignment="1"/>
    <xf numFmtId="0" fontId="13" fillId="0" borderId="1" xfId="7" applyFont="1" applyBorder="1" applyAlignment="1">
      <alignment horizontal="center" vertical="center" wrapText="1"/>
    </xf>
    <xf numFmtId="0" fontId="13" fillId="0" borderId="1" xfId="7" applyFont="1" applyBorder="1" applyAlignment="1">
      <alignment horizontal="center" vertical="center"/>
    </xf>
    <xf numFmtId="0" fontId="14" fillId="0" borderId="1" xfId="7" applyFont="1" applyBorder="1" applyAlignment="1">
      <alignment horizontal="left" vertical="center" wrapText="1"/>
    </xf>
    <xf numFmtId="0" fontId="13" fillId="0" borderId="1" xfId="7" applyFont="1" applyBorder="1" applyAlignment="1">
      <alignment vertical="center"/>
    </xf>
    <xf numFmtId="0" fontId="5" fillId="0" borderId="1" xfId="7" applyFont="1" applyBorder="1" applyAlignment="1">
      <alignment horizontal="center" vertical="center"/>
    </xf>
    <xf numFmtId="0" fontId="0" fillId="0" borderId="0" xfId="7" applyFont="1" applyAlignment="1">
      <alignment horizontal="center" vertical="center"/>
    </xf>
    <xf numFmtId="0" fontId="0" fillId="0" borderId="4" xfId="7" applyFont="1" applyBorder="1" applyAlignment="1">
      <alignment horizontal="center" vertical="center"/>
    </xf>
    <xf numFmtId="0" fontId="0" fillId="0" borderId="4" xfId="7" applyFont="1" applyBorder="1" applyAlignment="1">
      <alignment vertical="center"/>
    </xf>
  </cellXfs>
  <cellStyles count="8">
    <cellStyle name="Comma" xfId="4"/>
    <cellStyle name="Comma [0]" xfId="5"/>
    <cellStyle name="Currency" xfId="2"/>
    <cellStyle name="Currency [0]" xfId="3"/>
    <cellStyle name="Normal" xfId="7"/>
    <cellStyle name="Percent" xfId="1"/>
    <cellStyle name="百分比 2" xfId="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showGridLines="0" tabSelected="1" workbookViewId="0">
      <selection activeCell="L15" sqref="L15"/>
    </sheetView>
  </sheetViews>
  <sheetFormatPr defaultRowHeight="13.5" x14ac:dyDescent="0.15"/>
  <cols>
    <col min="1" max="2" width="18.5" customWidth="1"/>
    <col min="3" max="3" width="5" customWidth="1"/>
    <col min="4" max="4" width="8.125" customWidth="1"/>
    <col min="5" max="5" width="4.125" customWidth="1"/>
    <col min="6" max="6" width="3.75" customWidth="1"/>
    <col min="7" max="8" width="13.375" customWidth="1"/>
    <col min="9" max="10" width="6.25" customWidth="1"/>
    <col min="11" max="12" width="10.875" customWidth="1"/>
    <col min="14" max="15" width="13.375" customWidth="1"/>
    <col min="16" max="16" width="7.875" customWidth="1"/>
    <col min="17" max="17" width="7.75" customWidth="1"/>
    <col min="18" max="18" width="9" hidden="1" customWidth="1"/>
  </cols>
  <sheetData>
    <row r="1" spans="1:18" ht="15" customHeight="1" thickTop="1" thickBot="1" x14ac:dyDescent="0.2">
      <c r="A1" s="7" t="str">
        <f>"汇瑞精选_华夏银行基金估值表"&amp;SUBSTITUTE(R1,"-","")</f>
        <v>汇瑞精选_华夏银行基金估值表</v>
      </c>
      <c r="B1" s="7" t="s">
        <v>0</v>
      </c>
      <c r="C1" s="7" t="s">
        <v>1</v>
      </c>
      <c r="D1" s="7" t="s">
        <v>2</v>
      </c>
      <c r="E1" s="7"/>
      <c r="F1" s="7"/>
      <c r="G1" s="7" t="s">
        <v>3</v>
      </c>
      <c r="H1" s="7"/>
      <c r="I1" s="7" t="s">
        <v>4</v>
      </c>
      <c r="J1" s="7" t="s">
        <v>5</v>
      </c>
      <c r="K1" s="7" t="s">
        <v>6</v>
      </c>
      <c r="L1" s="7"/>
      <c r="M1" s="7" t="s">
        <v>7</v>
      </c>
      <c r="N1" s="7"/>
      <c r="O1" s="7"/>
      <c r="P1" s="7" t="s">
        <v>7</v>
      </c>
      <c r="Q1" s="9"/>
      <c r="R1" t="str">
        <f>""</f>
        <v/>
      </c>
    </row>
    <row r="2" spans="1:18" ht="15" customHeight="1" thickTop="1" thickBot="1" x14ac:dyDescent="0.2">
      <c r="A2" s="7" t="s">
        <v>8</v>
      </c>
      <c r="B2" s="7" t="s">
        <v>9</v>
      </c>
      <c r="C2" s="7" t="s">
        <v>10</v>
      </c>
      <c r="D2" s="7" t="s">
        <v>10</v>
      </c>
      <c r="E2" s="7"/>
      <c r="F2" s="7"/>
      <c r="G2" s="7" t="s">
        <v>10</v>
      </c>
      <c r="H2" s="7"/>
      <c r="I2" s="7" t="s">
        <v>11</v>
      </c>
      <c r="J2" s="7" t="s">
        <v>10</v>
      </c>
      <c r="K2" s="7" t="s">
        <v>10</v>
      </c>
      <c r="L2" s="7"/>
      <c r="M2" s="7" t="s">
        <v>12</v>
      </c>
      <c r="N2" s="7"/>
      <c r="O2" s="7"/>
      <c r="P2" s="7" t="s">
        <v>12</v>
      </c>
      <c r="Q2" s="9"/>
      <c r="R2" t="s">
        <v>62</v>
      </c>
    </row>
    <row r="3" spans="1:18" ht="21" thickTop="1" thickBot="1" x14ac:dyDescent="0.2">
      <c r="A3" s="6" t="s">
        <v>58</v>
      </c>
      <c r="B3" s="6" t="s">
        <v>9</v>
      </c>
      <c r="C3" s="6" t="s">
        <v>10</v>
      </c>
      <c r="D3" s="6" t="s">
        <v>10</v>
      </c>
      <c r="E3" s="6"/>
      <c r="F3" s="6"/>
      <c r="G3" s="6" t="s">
        <v>10</v>
      </c>
      <c r="H3" s="6"/>
      <c r="I3" s="6" t="s">
        <v>13</v>
      </c>
      <c r="J3" s="6" t="s">
        <v>10</v>
      </c>
      <c r="K3" s="6" t="s">
        <v>10</v>
      </c>
      <c r="L3" s="6"/>
      <c r="M3" s="6" t="s">
        <v>14</v>
      </c>
      <c r="N3" s="6"/>
      <c r="O3" s="6"/>
      <c r="P3" s="6" t="s">
        <v>14</v>
      </c>
      <c r="Q3" s="16"/>
    </row>
    <row r="4" spans="1:18" ht="15" thickTop="1" x14ac:dyDescent="0.2">
      <c r="A4" s="5" t="str">
        <f>"日期:"&amp;R1</f>
        <v>日期:</v>
      </c>
      <c r="B4" s="5" t="s">
        <v>15</v>
      </c>
      <c r="C4" s="4"/>
      <c r="D4" s="4" t="s">
        <v>10</v>
      </c>
      <c r="E4" s="4"/>
      <c r="F4" s="4"/>
      <c r="G4" s="4" t="s">
        <v>10</v>
      </c>
      <c r="H4" s="4"/>
      <c r="I4" s="4" t="s">
        <v>16</v>
      </c>
      <c r="J4" s="3" t="str">
        <f>"单位净值："&amp;R2</f>
        <v>单位净值：1.0374</v>
      </c>
      <c r="K4" s="3" t="s">
        <v>10</v>
      </c>
      <c r="L4" s="3"/>
      <c r="M4" s="3" t="s">
        <v>17</v>
      </c>
      <c r="N4" s="3"/>
      <c r="O4" s="3"/>
      <c r="P4" s="3" t="s">
        <v>17</v>
      </c>
      <c r="Q4" s="17"/>
    </row>
    <row r="5" spans="1:18" ht="13.5" customHeight="1" x14ac:dyDescent="0.15">
      <c r="A5" s="2" t="s">
        <v>18</v>
      </c>
      <c r="B5" s="8" t="s">
        <v>19</v>
      </c>
      <c r="C5" s="8" t="s">
        <v>20</v>
      </c>
      <c r="D5" s="8" t="s">
        <v>21</v>
      </c>
      <c r="E5" s="1" t="s">
        <v>22</v>
      </c>
      <c r="F5" s="1" t="s">
        <v>23</v>
      </c>
      <c r="G5" s="18" t="s">
        <v>24</v>
      </c>
      <c r="H5" s="18" t="s">
        <v>24</v>
      </c>
      <c r="I5" s="8" t="s">
        <v>25</v>
      </c>
      <c r="J5" s="8" t="s">
        <v>26</v>
      </c>
      <c r="K5" s="19" t="s">
        <v>27</v>
      </c>
      <c r="L5" s="19" t="s">
        <v>27</v>
      </c>
      <c r="M5" s="8" t="s">
        <v>28</v>
      </c>
      <c r="N5" s="19" t="s">
        <v>29</v>
      </c>
      <c r="O5" s="19" t="s">
        <v>29</v>
      </c>
      <c r="P5" s="8" t="s">
        <v>30</v>
      </c>
      <c r="Q5" s="8" t="s">
        <v>31</v>
      </c>
    </row>
    <row r="6" spans="1:18" ht="13.5" customHeight="1" x14ac:dyDescent="0.15">
      <c r="A6" s="8" t="s">
        <v>8</v>
      </c>
      <c r="B6" s="8" t="s">
        <v>32</v>
      </c>
      <c r="C6" s="8" t="s">
        <v>10</v>
      </c>
      <c r="D6" s="8" t="s">
        <v>10</v>
      </c>
      <c r="E6" s="1"/>
      <c r="F6" s="1" t="s">
        <v>10</v>
      </c>
      <c r="G6" s="22" t="s">
        <v>59</v>
      </c>
      <c r="H6" s="19" t="s">
        <v>33</v>
      </c>
      <c r="I6" s="8"/>
      <c r="J6" s="8"/>
      <c r="K6" s="19" t="s">
        <v>34</v>
      </c>
      <c r="L6" s="22" t="s">
        <v>60</v>
      </c>
      <c r="M6" s="8"/>
      <c r="N6" s="22" t="s">
        <v>61</v>
      </c>
      <c r="O6" s="19" t="s">
        <v>33</v>
      </c>
      <c r="P6" s="8" t="s">
        <v>35</v>
      </c>
      <c r="Q6" s="8"/>
    </row>
    <row r="7" spans="1:18" ht="18" customHeight="1" x14ac:dyDescent="0.15">
      <c r="A7" s="8" t="s">
        <v>8</v>
      </c>
      <c r="B7" s="8" t="s">
        <v>32</v>
      </c>
      <c r="C7" s="8" t="s">
        <v>10</v>
      </c>
      <c r="D7" s="8" t="s">
        <v>10</v>
      </c>
      <c r="E7" s="1"/>
      <c r="F7" s="1" t="s">
        <v>10</v>
      </c>
      <c r="G7" s="20" t="s">
        <v>36</v>
      </c>
      <c r="H7" s="20" t="s">
        <v>36</v>
      </c>
      <c r="I7" s="19" t="s">
        <v>37</v>
      </c>
      <c r="J7" s="21"/>
      <c r="K7" s="20" t="s">
        <v>36</v>
      </c>
      <c r="L7" s="20" t="s">
        <v>36</v>
      </c>
      <c r="M7" s="19" t="s">
        <v>37</v>
      </c>
      <c r="N7" s="20" t="s">
        <v>36</v>
      </c>
      <c r="O7" s="20" t="s">
        <v>36</v>
      </c>
      <c r="P7" s="8" t="s">
        <v>35</v>
      </c>
      <c r="Q7" s="8"/>
    </row>
    <row r="8" spans="1:18" ht="22.5" customHeight="1" x14ac:dyDescent="0.15">
      <c r="A8" s="10" t="s">
        <v>63</v>
      </c>
      <c r="B8" s="13" t="s">
        <v>64</v>
      </c>
      <c r="C8" s="11"/>
      <c r="D8" s="11"/>
      <c r="E8" s="11"/>
      <c r="F8" s="11"/>
      <c r="G8" s="11"/>
      <c r="H8" s="11">
        <v>446565.74</v>
      </c>
      <c r="I8" s="15">
        <v>21</v>
      </c>
      <c r="J8" s="11"/>
      <c r="K8" s="11"/>
      <c r="L8" s="11">
        <v>446565.74</v>
      </c>
      <c r="M8" s="15">
        <v>21</v>
      </c>
      <c r="N8" s="12"/>
      <c r="O8" s="12"/>
      <c r="P8" s="10"/>
      <c r="Q8" s="14"/>
    </row>
    <row r="9" spans="1:18" ht="22.5" customHeight="1" x14ac:dyDescent="0.15">
      <c r="A9" s="10" t="s">
        <v>65</v>
      </c>
      <c r="B9" s="13" t="s">
        <v>66</v>
      </c>
      <c r="C9" s="11"/>
      <c r="D9" s="11"/>
      <c r="E9" s="11"/>
      <c r="F9" s="11"/>
      <c r="G9" s="11">
        <v>446501.09</v>
      </c>
      <c r="H9" s="11">
        <v>446501.09</v>
      </c>
      <c r="I9" s="15">
        <v>20.99</v>
      </c>
      <c r="J9" s="11"/>
      <c r="K9" s="11">
        <v>446501.09</v>
      </c>
      <c r="L9" s="11">
        <v>446501.09</v>
      </c>
      <c r="M9" s="15">
        <v>20.99</v>
      </c>
      <c r="N9" s="12"/>
      <c r="O9" s="12"/>
      <c r="P9" s="10"/>
      <c r="Q9" s="14"/>
    </row>
    <row r="10" spans="1:18" ht="22.5" customHeight="1" x14ac:dyDescent="0.15">
      <c r="A10" s="10" t="s">
        <v>67</v>
      </c>
      <c r="B10" s="13" t="s">
        <v>68</v>
      </c>
      <c r="C10" s="11"/>
      <c r="D10" s="11"/>
      <c r="E10" s="11"/>
      <c r="F10" s="11"/>
      <c r="G10" s="11">
        <v>446501.09</v>
      </c>
      <c r="H10" s="11">
        <v>446501.09</v>
      </c>
      <c r="I10" s="15">
        <v>20.99</v>
      </c>
      <c r="J10" s="11"/>
      <c r="K10" s="11">
        <v>446501.09</v>
      </c>
      <c r="L10" s="11">
        <v>446501.09</v>
      </c>
      <c r="M10" s="15">
        <v>20.99</v>
      </c>
      <c r="N10" s="12"/>
      <c r="O10" s="12"/>
      <c r="P10" s="10"/>
      <c r="Q10" s="14"/>
    </row>
    <row r="11" spans="1:18" ht="22.5" customHeight="1" x14ac:dyDescent="0.15">
      <c r="A11" s="10" t="s">
        <v>69</v>
      </c>
      <c r="B11" s="13" t="s">
        <v>70</v>
      </c>
      <c r="C11" s="11"/>
      <c r="D11" s="11"/>
      <c r="E11" s="11"/>
      <c r="F11" s="11"/>
      <c r="G11" s="11">
        <v>64.650000000000006</v>
      </c>
      <c r="H11" s="11">
        <v>64.650000000000006</v>
      </c>
      <c r="I11" s="15">
        <v>0</v>
      </c>
      <c r="J11" s="11"/>
      <c r="K11" s="11">
        <v>64.650000000000006</v>
      </c>
      <c r="L11" s="11">
        <v>64.650000000000006</v>
      </c>
      <c r="M11" s="15">
        <v>0</v>
      </c>
      <c r="N11" s="12"/>
      <c r="O11" s="12"/>
      <c r="P11" s="10"/>
      <c r="Q11" s="14"/>
    </row>
    <row r="12" spans="1:18" ht="22.5" customHeight="1" x14ac:dyDescent="0.15">
      <c r="A12" s="10" t="s">
        <v>71</v>
      </c>
      <c r="B12" s="13" t="s">
        <v>72</v>
      </c>
      <c r="C12" s="11"/>
      <c r="D12" s="11"/>
      <c r="E12" s="11"/>
      <c r="F12" s="11"/>
      <c r="G12" s="11">
        <v>64.650000000000006</v>
      </c>
      <c r="H12" s="11">
        <v>64.650000000000006</v>
      </c>
      <c r="I12" s="15">
        <v>0</v>
      </c>
      <c r="J12" s="11"/>
      <c r="K12" s="11">
        <v>64.650000000000006</v>
      </c>
      <c r="L12" s="11">
        <v>64.650000000000006</v>
      </c>
      <c r="M12" s="15">
        <v>0</v>
      </c>
      <c r="N12" s="12"/>
      <c r="O12" s="12"/>
      <c r="P12" s="10"/>
      <c r="Q12" s="14"/>
    </row>
    <row r="13" spans="1:18" ht="22.5" customHeight="1" x14ac:dyDescent="0.15">
      <c r="A13" s="10" t="s">
        <v>73</v>
      </c>
      <c r="B13" s="13" t="s">
        <v>74</v>
      </c>
      <c r="C13" s="11"/>
      <c r="D13" s="11"/>
      <c r="E13" s="11"/>
      <c r="F13" s="11"/>
      <c r="G13" s="11"/>
      <c r="H13" s="11">
        <v>0.15</v>
      </c>
      <c r="I13" s="15"/>
      <c r="J13" s="11"/>
      <c r="K13" s="11"/>
      <c r="L13" s="11">
        <v>0.15</v>
      </c>
      <c r="M13" s="15"/>
      <c r="N13" s="12"/>
      <c r="O13" s="12"/>
      <c r="P13" s="10"/>
      <c r="Q13" s="14"/>
    </row>
    <row r="14" spans="1:18" ht="22.5" customHeight="1" x14ac:dyDescent="0.15">
      <c r="A14" s="10" t="s">
        <v>75</v>
      </c>
      <c r="B14" s="13" t="s">
        <v>76</v>
      </c>
      <c r="C14" s="11"/>
      <c r="D14" s="11"/>
      <c r="E14" s="11"/>
      <c r="F14" s="11"/>
      <c r="G14" s="11">
        <v>0.15</v>
      </c>
      <c r="H14" s="11">
        <v>0.15</v>
      </c>
      <c r="I14" s="15"/>
      <c r="J14" s="11"/>
      <c r="K14" s="11">
        <v>0.15</v>
      </c>
      <c r="L14" s="11">
        <v>0.15</v>
      </c>
      <c r="M14" s="15"/>
      <c r="N14" s="12"/>
      <c r="O14" s="12"/>
      <c r="P14" s="10"/>
      <c r="Q14" s="14"/>
    </row>
    <row r="15" spans="1:18" ht="22.5" customHeight="1" x14ac:dyDescent="0.15">
      <c r="A15" s="10" t="s">
        <v>77</v>
      </c>
      <c r="B15" s="13" t="s">
        <v>78</v>
      </c>
      <c r="C15" s="11"/>
      <c r="D15" s="11"/>
      <c r="E15" s="11"/>
      <c r="F15" s="11"/>
      <c r="G15" s="11">
        <v>0.15</v>
      </c>
      <c r="H15" s="11">
        <v>0.15</v>
      </c>
      <c r="I15" s="15"/>
      <c r="J15" s="11"/>
      <c r="K15" s="11">
        <v>0.15</v>
      </c>
      <c r="L15" s="11">
        <v>0.15</v>
      </c>
      <c r="M15" s="15"/>
      <c r="N15" s="12"/>
      <c r="O15" s="12"/>
      <c r="P15" s="10"/>
      <c r="Q15" s="14"/>
    </row>
    <row r="16" spans="1:18" ht="22.5" customHeight="1" x14ac:dyDescent="0.15">
      <c r="A16" s="10" t="s">
        <v>79</v>
      </c>
      <c r="B16" s="13" t="s">
        <v>80</v>
      </c>
      <c r="C16" s="11"/>
      <c r="D16" s="11"/>
      <c r="E16" s="11"/>
      <c r="F16" s="11"/>
      <c r="G16" s="11">
        <v>0.15</v>
      </c>
      <c r="H16" s="11">
        <v>0.15</v>
      </c>
      <c r="I16" s="15"/>
      <c r="J16" s="11"/>
      <c r="K16" s="11">
        <v>0.15</v>
      </c>
      <c r="L16" s="11">
        <v>0.15</v>
      </c>
      <c r="M16" s="15"/>
      <c r="N16" s="12"/>
      <c r="O16" s="12"/>
      <c r="P16" s="10"/>
      <c r="Q16" s="14"/>
    </row>
    <row r="17" spans="1:17" ht="22.5" customHeight="1" x14ac:dyDescent="0.15">
      <c r="A17" s="10" t="s">
        <v>81</v>
      </c>
      <c r="B17" s="13" t="s">
        <v>82</v>
      </c>
      <c r="C17" s="11"/>
      <c r="D17" s="11"/>
      <c r="E17" s="11"/>
      <c r="F17" s="11"/>
      <c r="G17" s="11"/>
      <c r="H17" s="11">
        <v>135.65</v>
      </c>
      <c r="I17" s="15">
        <v>0.01</v>
      </c>
      <c r="J17" s="11"/>
      <c r="K17" s="11"/>
      <c r="L17" s="11">
        <v>135.65</v>
      </c>
      <c r="M17" s="15">
        <v>0.01</v>
      </c>
      <c r="N17" s="12"/>
      <c r="O17" s="12"/>
      <c r="P17" s="10"/>
      <c r="Q17" s="14"/>
    </row>
    <row r="18" spans="1:17" ht="22.5" customHeight="1" x14ac:dyDescent="0.15">
      <c r="A18" s="10" t="s">
        <v>83</v>
      </c>
      <c r="B18" s="13" t="s">
        <v>84</v>
      </c>
      <c r="C18" s="11"/>
      <c r="D18" s="11"/>
      <c r="E18" s="11"/>
      <c r="F18" s="11"/>
      <c r="G18" s="11">
        <v>135.65</v>
      </c>
      <c r="H18" s="11">
        <v>135.65</v>
      </c>
      <c r="I18" s="15">
        <v>0.01</v>
      </c>
      <c r="J18" s="11"/>
      <c r="K18" s="11">
        <v>135.65</v>
      </c>
      <c r="L18" s="11">
        <v>135.65</v>
      </c>
      <c r="M18" s="15">
        <v>0.01</v>
      </c>
      <c r="N18" s="12"/>
      <c r="O18" s="12"/>
      <c r="P18" s="10"/>
      <c r="Q18" s="14"/>
    </row>
    <row r="19" spans="1:17" ht="22.5" customHeight="1" x14ac:dyDescent="0.15">
      <c r="A19" s="10" t="s">
        <v>85</v>
      </c>
      <c r="B19" s="13" t="s">
        <v>86</v>
      </c>
      <c r="C19" s="11"/>
      <c r="D19" s="11"/>
      <c r="E19" s="11"/>
      <c r="F19" s="11"/>
      <c r="G19" s="11">
        <v>135.65</v>
      </c>
      <c r="H19" s="11">
        <v>135.65</v>
      </c>
      <c r="I19" s="15">
        <v>0.01</v>
      </c>
      <c r="J19" s="11"/>
      <c r="K19" s="11">
        <v>135.65</v>
      </c>
      <c r="L19" s="11">
        <v>135.65</v>
      </c>
      <c r="M19" s="15">
        <v>0.01</v>
      </c>
      <c r="N19" s="12"/>
      <c r="O19" s="12"/>
      <c r="P19" s="10"/>
      <c r="Q19" s="14"/>
    </row>
    <row r="20" spans="1:17" ht="22.5" customHeight="1" x14ac:dyDescent="0.15">
      <c r="A20" s="10" t="s">
        <v>87</v>
      </c>
      <c r="B20" s="13" t="s">
        <v>86</v>
      </c>
      <c r="C20" s="11"/>
      <c r="D20" s="11"/>
      <c r="E20" s="11"/>
      <c r="F20" s="11"/>
      <c r="G20" s="11">
        <v>133.69999999999999</v>
      </c>
      <c r="H20" s="11">
        <v>133.69999999999999</v>
      </c>
      <c r="I20" s="15">
        <v>0.01</v>
      </c>
      <c r="J20" s="11"/>
      <c r="K20" s="11">
        <v>133.69999999999999</v>
      </c>
      <c r="L20" s="11">
        <v>133.69999999999999</v>
      </c>
      <c r="M20" s="15">
        <v>0.01</v>
      </c>
      <c r="N20" s="12"/>
      <c r="O20" s="12"/>
      <c r="P20" s="10"/>
      <c r="Q20" s="14"/>
    </row>
    <row r="21" spans="1:17" ht="22.5" customHeight="1" x14ac:dyDescent="0.15">
      <c r="A21" s="10" t="s">
        <v>88</v>
      </c>
      <c r="B21" s="13" t="s">
        <v>89</v>
      </c>
      <c r="C21" s="11"/>
      <c r="D21" s="11"/>
      <c r="E21" s="11"/>
      <c r="F21" s="11"/>
      <c r="G21" s="11">
        <v>1.95</v>
      </c>
      <c r="H21" s="11">
        <v>1.95</v>
      </c>
      <c r="I21" s="15">
        <v>0</v>
      </c>
      <c r="J21" s="11"/>
      <c r="K21" s="11">
        <v>1.95</v>
      </c>
      <c r="L21" s="11">
        <v>1.95</v>
      </c>
      <c r="M21" s="15">
        <v>0</v>
      </c>
      <c r="N21" s="12"/>
      <c r="O21" s="12"/>
      <c r="P21" s="10"/>
      <c r="Q21" s="14"/>
    </row>
    <row r="22" spans="1:17" ht="22.5" customHeight="1" x14ac:dyDescent="0.15">
      <c r="A22" s="10" t="s">
        <v>90</v>
      </c>
      <c r="B22" s="13" t="s">
        <v>91</v>
      </c>
      <c r="C22" s="11"/>
      <c r="D22" s="11"/>
      <c r="E22" s="11"/>
      <c r="F22" s="11"/>
      <c r="G22" s="11"/>
      <c r="H22" s="11">
        <v>1687486.29</v>
      </c>
      <c r="I22" s="15">
        <v>79.349999999999994</v>
      </c>
      <c r="J22" s="11"/>
      <c r="K22" s="11"/>
      <c r="L22" s="11">
        <v>1683489.79</v>
      </c>
      <c r="M22" s="15">
        <v>79.16</v>
      </c>
      <c r="N22" s="12"/>
      <c r="O22" s="12">
        <v>-3996.5</v>
      </c>
      <c r="P22" s="10"/>
      <c r="Q22" s="14"/>
    </row>
    <row r="23" spans="1:17" ht="22.5" customHeight="1" x14ac:dyDescent="0.15">
      <c r="A23" s="10" t="s">
        <v>92</v>
      </c>
      <c r="B23" s="13" t="s">
        <v>93</v>
      </c>
      <c r="C23" s="11"/>
      <c r="D23" s="11"/>
      <c r="E23" s="11"/>
      <c r="F23" s="11"/>
      <c r="G23" s="11">
        <v>1687486.29</v>
      </c>
      <c r="H23" s="11">
        <v>1687486.29</v>
      </c>
      <c r="I23" s="15">
        <v>79.349999999999994</v>
      </c>
      <c r="J23" s="11"/>
      <c r="K23" s="11">
        <v>1683489.79</v>
      </c>
      <c r="L23" s="11">
        <v>1683489.79</v>
      </c>
      <c r="M23" s="15">
        <v>79.16</v>
      </c>
      <c r="N23" s="12">
        <v>-3996.5</v>
      </c>
      <c r="O23" s="12">
        <v>-3996.5</v>
      </c>
      <c r="P23" s="10"/>
      <c r="Q23" s="14"/>
    </row>
    <row r="24" spans="1:17" ht="22.5" customHeight="1" x14ac:dyDescent="0.15">
      <c r="A24" s="10" t="s">
        <v>94</v>
      </c>
      <c r="B24" s="13" t="s">
        <v>95</v>
      </c>
      <c r="C24" s="11"/>
      <c r="D24" s="11"/>
      <c r="E24" s="11"/>
      <c r="F24" s="11"/>
      <c r="G24" s="11">
        <v>1687486.29</v>
      </c>
      <c r="H24" s="11">
        <v>1687486.29</v>
      </c>
      <c r="I24" s="15">
        <v>79.349999999999994</v>
      </c>
      <c r="J24" s="11"/>
      <c r="K24" s="11">
        <v>1683489.79</v>
      </c>
      <c r="L24" s="11">
        <v>1683489.79</v>
      </c>
      <c r="M24" s="15">
        <v>79.16</v>
      </c>
      <c r="N24" s="12">
        <v>-3996.5</v>
      </c>
      <c r="O24" s="12">
        <v>-3996.5</v>
      </c>
      <c r="P24" s="10"/>
      <c r="Q24" s="14"/>
    </row>
    <row r="25" spans="1:17" ht="22.5" customHeight="1" x14ac:dyDescent="0.15">
      <c r="A25" s="10" t="s">
        <v>96</v>
      </c>
      <c r="B25" s="13" t="s">
        <v>97</v>
      </c>
      <c r="C25" s="11">
        <v>4959</v>
      </c>
      <c r="D25" s="11">
        <v>99.99</v>
      </c>
      <c r="E25" s="11" t="s">
        <v>98</v>
      </c>
      <c r="F25" s="11" t="s">
        <v>45</v>
      </c>
      <c r="G25" s="11">
        <v>495855.89</v>
      </c>
      <c r="H25" s="11">
        <v>495855.89</v>
      </c>
      <c r="I25" s="15">
        <v>23.32</v>
      </c>
      <c r="J25" s="11">
        <v>100.003</v>
      </c>
      <c r="K25" s="11">
        <v>495914.88</v>
      </c>
      <c r="L25" s="11">
        <v>495914.88</v>
      </c>
      <c r="M25" s="15">
        <v>23.32</v>
      </c>
      <c r="N25" s="12">
        <v>58.99</v>
      </c>
      <c r="O25" s="12">
        <v>58.99</v>
      </c>
      <c r="P25" s="10" t="s">
        <v>99</v>
      </c>
      <c r="Q25" s="14" t="s">
        <v>100</v>
      </c>
    </row>
    <row r="26" spans="1:17" ht="22.5" customHeight="1" x14ac:dyDescent="0.15">
      <c r="A26" s="10" t="s">
        <v>101</v>
      </c>
      <c r="B26" s="13" t="s">
        <v>102</v>
      </c>
      <c r="C26" s="11">
        <v>2818</v>
      </c>
      <c r="D26" s="11">
        <v>99.99</v>
      </c>
      <c r="E26" s="11" t="s">
        <v>98</v>
      </c>
      <c r="F26" s="11" t="s">
        <v>45</v>
      </c>
      <c r="G26" s="11">
        <v>281782.40000000002</v>
      </c>
      <c r="H26" s="11">
        <v>281782.40000000002</v>
      </c>
      <c r="I26" s="15">
        <v>13.25</v>
      </c>
      <c r="J26" s="11">
        <v>100.002</v>
      </c>
      <c r="K26" s="11">
        <v>281805.64</v>
      </c>
      <c r="L26" s="11">
        <v>281805.64</v>
      </c>
      <c r="M26" s="15">
        <v>13.25</v>
      </c>
      <c r="N26" s="12">
        <v>23.24</v>
      </c>
      <c r="O26" s="12">
        <v>23.24</v>
      </c>
      <c r="P26" s="10" t="s">
        <v>99</v>
      </c>
      <c r="Q26" s="14" t="s">
        <v>103</v>
      </c>
    </row>
    <row r="27" spans="1:17" ht="22.5" customHeight="1" x14ac:dyDescent="0.15">
      <c r="A27" s="10" t="s">
        <v>104</v>
      </c>
      <c r="B27" s="13" t="s">
        <v>105</v>
      </c>
      <c r="C27" s="11">
        <v>4000</v>
      </c>
      <c r="D27" s="11">
        <v>101.15</v>
      </c>
      <c r="E27" s="11" t="s">
        <v>98</v>
      </c>
      <c r="F27" s="11" t="s">
        <v>45</v>
      </c>
      <c r="G27" s="11">
        <v>404588</v>
      </c>
      <c r="H27" s="11">
        <v>404588</v>
      </c>
      <c r="I27" s="15">
        <v>19.02</v>
      </c>
      <c r="J27" s="11">
        <v>100.111</v>
      </c>
      <c r="K27" s="11">
        <v>400444</v>
      </c>
      <c r="L27" s="11">
        <v>400444</v>
      </c>
      <c r="M27" s="15">
        <v>18.829999999999998</v>
      </c>
      <c r="N27" s="12">
        <v>-4144</v>
      </c>
      <c r="O27" s="12">
        <v>-4144</v>
      </c>
      <c r="P27" s="10" t="s">
        <v>99</v>
      </c>
      <c r="Q27" s="14" t="s">
        <v>106</v>
      </c>
    </row>
    <row r="28" spans="1:17" ht="22.5" customHeight="1" x14ac:dyDescent="0.15">
      <c r="A28" s="10" t="s">
        <v>107</v>
      </c>
      <c r="B28" s="13" t="s">
        <v>108</v>
      </c>
      <c r="C28" s="11">
        <v>5053</v>
      </c>
      <c r="D28" s="11">
        <v>99.99</v>
      </c>
      <c r="E28" s="11" t="s">
        <v>98</v>
      </c>
      <c r="F28" s="11" t="s">
        <v>45</v>
      </c>
      <c r="G28" s="11">
        <v>505260</v>
      </c>
      <c r="H28" s="11">
        <v>505260</v>
      </c>
      <c r="I28" s="15">
        <v>23.76</v>
      </c>
      <c r="J28" s="11">
        <v>100.005</v>
      </c>
      <c r="K28" s="11">
        <v>505325.27</v>
      </c>
      <c r="L28" s="11">
        <v>505325.27</v>
      </c>
      <c r="M28" s="15">
        <v>23.76</v>
      </c>
      <c r="N28" s="12">
        <v>65.27</v>
      </c>
      <c r="O28" s="12">
        <v>65.27</v>
      </c>
      <c r="P28" s="10" t="s">
        <v>99</v>
      </c>
      <c r="Q28" s="14" t="s">
        <v>109</v>
      </c>
    </row>
    <row r="29" spans="1:17" ht="22.5" customHeight="1" x14ac:dyDescent="0.15">
      <c r="A29" s="10" t="s">
        <v>110</v>
      </c>
      <c r="B29" s="13" t="s">
        <v>111</v>
      </c>
      <c r="C29" s="11"/>
      <c r="D29" s="11"/>
      <c r="E29" s="11"/>
      <c r="F29" s="11"/>
      <c r="G29" s="11"/>
      <c r="H29" s="11">
        <v>8568</v>
      </c>
      <c r="I29" s="15">
        <v>0.4</v>
      </c>
      <c r="J29" s="11"/>
      <c r="K29" s="11"/>
      <c r="L29" s="11">
        <v>8568</v>
      </c>
      <c r="M29" s="15">
        <v>0.4</v>
      </c>
      <c r="N29" s="12"/>
      <c r="O29" s="12"/>
      <c r="P29" s="10"/>
      <c r="Q29" s="14"/>
    </row>
    <row r="30" spans="1:17" ht="22.5" customHeight="1" x14ac:dyDescent="0.15">
      <c r="A30" s="10" t="s">
        <v>112</v>
      </c>
      <c r="B30" s="13" t="s">
        <v>113</v>
      </c>
      <c r="C30" s="11"/>
      <c r="D30" s="11"/>
      <c r="E30" s="11"/>
      <c r="F30" s="11"/>
      <c r="G30" s="11">
        <v>8568</v>
      </c>
      <c r="H30" s="11">
        <v>8568</v>
      </c>
      <c r="I30" s="15">
        <v>0.4</v>
      </c>
      <c r="J30" s="11"/>
      <c r="K30" s="11">
        <v>8568</v>
      </c>
      <c r="L30" s="11">
        <v>8568</v>
      </c>
      <c r="M30" s="15">
        <v>0.4</v>
      </c>
      <c r="N30" s="12"/>
      <c r="O30" s="12"/>
      <c r="P30" s="10"/>
      <c r="Q30" s="14"/>
    </row>
    <row r="31" spans="1:17" ht="22.5" customHeight="1" x14ac:dyDescent="0.15">
      <c r="A31" s="10" t="s">
        <v>114</v>
      </c>
      <c r="B31" s="13" t="s">
        <v>115</v>
      </c>
      <c r="C31" s="11"/>
      <c r="D31" s="11"/>
      <c r="E31" s="11"/>
      <c r="F31" s="11"/>
      <c r="G31" s="11">
        <v>8568</v>
      </c>
      <c r="H31" s="11">
        <v>8568</v>
      </c>
      <c r="I31" s="15">
        <v>0.4</v>
      </c>
      <c r="J31" s="11"/>
      <c r="K31" s="11">
        <v>8568</v>
      </c>
      <c r="L31" s="11">
        <v>8568</v>
      </c>
      <c r="M31" s="15">
        <v>0.4</v>
      </c>
      <c r="N31" s="12"/>
      <c r="O31" s="12"/>
      <c r="P31" s="10"/>
      <c r="Q31" s="14"/>
    </row>
    <row r="32" spans="1:17" ht="22.5" customHeight="1" x14ac:dyDescent="0.15">
      <c r="A32" s="10" t="s">
        <v>116</v>
      </c>
      <c r="B32" s="13" t="s">
        <v>105</v>
      </c>
      <c r="C32" s="11"/>
      <c r="D32" s="11"/>
      <c r="E32" s="11" t="s">
        <v>98</v>
      </c>
      <c r="F32" s="11" t="s">
        <v>45</v>
      </c>
      <c r="G32" s="11">
        <v>8568</v>
      </c>
      <c r="H32" s="11">
        <v>8568</v>
      </c>
      <c r="I32" s="15">
        <v>0.4</v>
      </c>
      <c r="J32" s="11"/>
      <c r="K32" s="11">
        <v>8568</v>
      </c>
      <c r="L32" s="11">
        <v>8568</v>
      </c>
      <c r="M32" s="15">
        <v>0.4</v>
      </c>
      <c r="N32" s="12"/>
      <c r="O32" s="12"/>
      <c r="P32" s="10"/>
      <c r="Q32" s="14" t="s">
        <v>106</v>
      </c>
    </row>
    <row r="33" spans="1:17" ht="22.5" customHeight="1" x14ac:dyDescent="0.15">
      <c r="A33" s="10" t="s">
        <v>117</v>
      </c>
      <c r="B33" s="13" t="s">
        <v>118</v>
      </c>
      <c r="C33" s="11"/>
      <c r="D33" s="11"/>
      <c r="E33" s="11"/>
      <c r="F33" s="11"/>
      <c r="G33" s="11"/>
      <c r="H33" s="11">
        <v>1675.33</v>
      </c>
      <c r="I33" s="15">
        <v>0.08</v>
      </c>
      <c r="J33" s="11"/>
      <c r="K33" s="11"/>
      <c r="L33" s="11">
        <v>1675.33</v>
      </c>
      <c r="M33" s="15">
        <v>0.08</v>
      </c>
      <c r="N33" s="12"/>
      <c r="O33" s="12"/>
      <c r="P33" s="10"/>
      <c r="Q33" s="14"/>
    </row>
    <row r="34" spans="1:17" ht="22.5" customHeight="1" x14ac:dyDescent="0.15">
      <c r="A34" s="10" t="s">
        <v>119</v>
      </c>
      <c r="B34" s="13" t="s">
        <v>120</v>
      </c>
      <c r="C34" s="11"/>
      <c r="D34" s="11"/>
      <c r="E34" s="11"/>
      <c r="F34" s="11"/>
      <c r="G34" s="11">
        <v>1675.33</v>
      </c>
      <c r="H34" s="11">
        <v>1675.33</v>
      </c>
      <c r="I34" s="15">
        <v>0.08</v>
      </c>
      <c r="J34" s="11"/>
      <c r="K34" s="11">
        <v>1675.33</v>
      </c>
      <c r="L34" s="11">
        <v>1675.33</v>
      </c>
      <c r="M34" s="15">
        <v>0.08</v>
      </c>
      <c r="N34" s="12"/>
      <c r="O34" s="12"/>
      <c r="P34" s="10"/>
      <c r="Q34" s="14"/>
    </row>
    <row r="35" spans="1:17" ht="22.5" customHeight="1" x14ac:dyDescent="0.15">
      <c r="A35" s="10" t="s">
        <v>121</v>
      </c>
      <c r="B35" s="13" t="s">
        <v>122</v>
      </c>
      <c r="C35" s="11"/>
      <c r="D35" s="11"/>
      <c r="E35" s="11"/>
      <c r="F35" s="11"/>
      <c r="G35" s="11"/>
      <c r="H35" s="11">
        <v>111.62</v>
      </c>
      <c r="I35" s="15">
        <v>0.01</v>
      </c>
      <c r="J35" s="11"/>
      <c r="K35" s="11"/>
      <c r="L35" s="11">
        <v>111.62</v>
      </c>
      <c r="M35" s="15">
        <v>0.01</v>
      </c>
      <c r="N35" s="12"/>
      <c r="O35" s="12"/>
      <c r="P35" s="10"/>
      <c r="Q35" s="14"/>
    </row>
    <row r="36" spans="1:17" ht="22.5" customHeight="1" x14ac:dyDescent="0.15">
      <c r="A36" s="10" t="s">
        <v>123</v>
      </c>
      <c r="B36" s="13" t="s">
        <v>122</v>
      </c>
      <c r="C36" s="11"/>
      <c r="D36" s="11"/>
      <c r="E36" s="11"/>
      <c r="F36" s="11"/>
      <c r="G36" s="11">
        <v>111.62</v>
      </c>
      <c r="H36" s="11">
        <v>111.62</v>
      </c>
      <c r="I36" s="15">
        <v>0.01</v>
      </c>
      <c r="J36" s="11"/>
      <c r="K36" s="11">
        <v>111.62</v>
      </c>
      <c r="L36" s="11">
        <v>111.62</v>
      </c>
      <c r="M36" s="15">
        <v>0.01</v>
      </c>
      <c r="N36" s="12"/>
      <c r="O36" s="12"/>
      <c r="P36" s="10"/>
      <c r="Q36" s="14"/>
    </row>
    <row r="37" spans="1:17" ht="22.5" customHeight="1" x14ac:dyDescent="0.15">
      <c r="A37" s="10" t="s">
        <v>124</v>
      </c>
      <c r="B37" s="13" t="s">
        <v>125</v>
      </c>
      <c r="C37" s="11"/>
      <c r="D37" s="11"/>
      <c r="E37" s="11"/>
      <c r="F37" s="11"/>
      <c r="G37" s="11"/>
      <c r="H37" s="11">
        <v>70.2</v>
      </c>
      <c r="I37" s="15">
        <v>0</v>
      </c>
      <c r="J37" s="11"/>
      <c r="K37" s="11"/>
      <c r="L37" s="11">
        <v>70.2</v>
      </c>
      <c r="M37" s="15">
        <v>0</v>
      </c>
      <c r="N37" s="12"/>
      <c r="O37" s="12"/>
      <c r="P37" s="10"/>
      <c r="Q37" s="14"/>
    </row>
    <row r="38" spans="1:17" ht="22.5" customHeight="1" x14ac:dyDescent="0.15">
      <c r="A38" s="10" t="s">
        <v>126</v>
      </c>
      <c r="B38" s="13" t="s">
        <v>127</v>
      </c>
      <c r="C38" s="11"/>
      <c r="D38" s="11"/>
      <c r="E38" s="11"/>
      <c r="F38" s="11"/>
      <c r="G38" s="11">
        <v>70.2</v>
      </c>
      <c r="H38" s="11">
        <v>70.2</v>
      </c>
      <c r="I38" s="15">
        <v>0</v>
      </c>
      <c r="J38" s="11"/>
      <c r="K38" s="11">
        <v>70.2</v>
      </c>
      <c r="L38" s="11">
        <v>70.2</v>
      </c>
      <c r="M38" s="15">
        <v>0</v>
      </c>
      <c r="N38" s="12"/>
      <c r="O38" s="12"/>
      <c r="P38" s="10"/>
      <c r="Q38" s="14"/>
    </row>
    <row r="39" spans="1:17" ht="22.5" customHeight="1" x14ac:dyDescent="0.15">
      <c r="A39" s="10" t="s">
        <v>128</v>
      </c>
      <c r="B39" s="13" t="s">
        <v>129</v>
      </c>
      <c r="C39" s="11"/>
      <c r="D39" s="11"/>
      <c r="E39" s="11"/>
      <c r="F39" s="11"/>
      <c r="G39" s="11">
        <v>70.2</v>
      </c>
      <c r="H39" s="11">
        <v>70.2</v>
      </c>
      <c r="I39" s="15">
        <v>0</v>
      </c>
      <c r="J39" s="11"/>
      <c r="K39" s="11">
        <v>70.2</v>
      </c>
      <c r="L39" s="11">
        <v>70.2</v>
      </c>
      <c r="M39" s="15">
        <v>0</v>
      </c>
      <c r="N39" s="12"/>
      <c r="O39" s="12"/>
      <c r="P39" s="10"/>
      <c r="Q39" s="14"/>
    </row>
    <row r="40" spans="1:17" ht="22.5" customHeight="1" x14ac:dyDescent="0.15">
      <c r="A40" s="10" t="s">
        <v>130</v>
      </c>
      <c r="B40" s="13" t="s">
        <v>129</v>
      </c>
      <c r="C40" s="11"/>
      <c r="D40" s="11"/>
      <c r="E40" s="11"/>
      <c r="F40" s="11"/>
      <c r="G40" s="11">
        <v>70.2</v>
      </c>
      <c r="H40" s="11">
        <v>70.2</v>
      </c>
      <c r="I40" s="15">
        <v>0</v>
      </c>
      <c r="J40" s="11"/>
      <c r="K40" s="11">
        <v>70.2</v>
      </c>
      <c r="L40" s="11">
        <v>70.2</v>
      </c>
      <c r="M40" s="15">
        <v>0</v>
      </c>
      <c r="N40" s="12"/>
      <c r="O40" s="12"/>
      <c r="P40" s="10"/>
      <c r="Q40" s="14"/>
    </row>
    <row r="41" spans="1:17" ht="22.5" customHeight="1" x14ac:dyDescent="0.15">
      <c r="A41" s="10" t="s">
        <v>131</v>
      </c>
      <c r="B41" s="13" t="s">
        <v>132</v>
      </c>
      <c r="C41" s="11"/>
      <c r="D41" s="11"/>
      <c r="E41" s="11"/>
      <c r="F41" s="11"/>
      <c r="G41" s="11"/>
      <c r="H41" s="11">
        <v>10137</v>
      </c>
      <c r="I41" s="15">
        <v>0.48</v>
      </c>
      <c r="J41" s="11"/>
      <c r="K41" s="11"/>
      <c r="L41" s="11">
        <v>10137</v>
      </c>
      <c r="M41" s="15">
        <v>0.48</v>
      </c>
      <c r="N41" s="12"/>
      <c r="O41" s="12"/>
      <c r="P41" s="10"/>
      <c r="Q41" s="14"/>
    </row>
    <row r="42" spans="1:17" ht="22.5" customHeight="1" x14ac:dyDescent="0.15">
      <c r="A42" s="10" t="s">
        <v>133</v>
      </c>
      <c r="B42" s="13" t="s">
        <v>134</v>
      </c>
      <c r="C42" s="11"/>
      <c r="D42" s="11"/>
      <c r="E42" s="11"/>
      <c r="F42" s="11"/>
      <c r="G42" s="11">
        <v>10137</v>
      </c>
      <c r="H42" s="11">
        <v>10137</v>
      </c>
      <c r="I42" s="15">
        <v>0.48</v>
      </c>
      <c r="J42" s="11"/>
      <c r="K42" s="11">
        <v>10137</v>
      </c>
      <c r="L42" s="11">
        <v>10137</v>
      </c>
      <c r="M42" s="15">
        <v>0.48</v>
      </c>
      <c r="N42" s="12"/>
      <c r="O42" s="12"/>
      <c r="P42" s="10"/>
      <c r="Q42" s="14"/>
    </row>
    <row r="43" spans="1:17" ht="22.5" customHeight="1" x14ac:dyDescent="0.15">
      <c r="A43" s="10" t="s">
        <v>135</v>
      </c>
      <c r="B43" s="13" t="s">
        <v>136</v>
      </c>
      <c r="C43" s="11"/>
      <c r="D43" s="11"/>
      <c r="E43" s="11"/>
      <c r="F43" s="11"/>
      <c r="G43" s="11"/>
      <c r="H43" s="11"/>
      <c r="I43" s="15"/>
      <c r="J43" s="11"/>
      <c r="K43" s="11"/>
      <c r="L43" s="11"/>
      <c r="M43" s="15"/>
      <c r="N43" s="12"/>
      <c r="O43" s="12"/>
      <c r="P43" s="10"/>
      <c r="Q43" s="14"/>
    </row>
    <row r="44" spans="1:17" ht="22.5" customHeight="1" x14ac:dyDescent="0.15">
      <c r="A44" s="10" t="s">
        <v>137</v>
      </c>
      <c r="B44" s="13" t="s">
        <v>136</v>
      </c>
      <c r="C44" s="11"/>
      <c r="D44" s="11"/>
      <c r="E44" s="11"/>
      <c r="F44" s="11"/>
      <c r="G44" s="11"/>
      <c r="H44" s="11"/>
      <c r="I44" s="15"/>
      <c r="J44" s="11"/>
      <c r="K44" s="11"/>
      <c r="L44" s="11"/>
      <c r="M44" s="15"/>
      <c r="N44" s="12"/>
      <c r="O44" s="12"/>
      <c r="P44" s="10"/>
      <c r="Q44" s="14"/>
    </row>
    <row r="45" spans="1:17" ht="22.5" customHeight="1" x14ac:dyDescent="0.15">
      <c r="A45" s="10" t="s">
        <v>138</v>
      </c>
      <c r="B45" s="13" t="s">
        <v>136</v>
      </c>
      <c r="C45" s="11"/>
      <c r="D45" s="11"/>
      <c r="E45" s="11"/>
      <c r="F45" s="11"/>
      <c r="G45" s="11"/>
      <c r="H45" s="11"/>
      <c r="I45" s="15"/>
      <c r="J45" s="11"/>
      <c r="K45" s="11"/>
      <c r="L45" s="11"/>
      <c r="M45" s="15"/>
      <c r="N45" s="12"/>
      <c r="O45" s="12"/>
      <c r="P45" s="10"/>
      <c r="Q45" s="14"/>
    </row>
    <row r="46" spans="1:17" ht="22.5" customHeight="1" x14ac:dyDescent="0.15">
      <c r="A46" s="10" t="s">
        <v>139</v>
      </c>
      <c r="B46" s="13"/>
      <c r="C46" s="11">
        <v>2050000</v>
      </c>
      <c r="D46" s="11"/>
      <c r="E46" s="11"/>
      <c r="F46" s="11"/>
      <c r="G46" s="11">
        <v>2050000</v>
      </c>
      <c r="H46" s="11">
        <v>2050000</v>
      </c>
      <c r="I46" s="15">
        <v>96.39</v>
      </c>
      <c r="J46" s="11"/>
      <c r="K46" s="11">
        <v>2050000</v>
      </c>
      <c r="L46" s="11">
        <v>2050000</v>
      </c>
      <c r="M46" s="15">
        <v>96.39</v>
      </c>
      <c r="N46" s="12"/>
      <c r="O46" s="12"/>
      <c r="P46" s="10"/>
      <c r="Q46" s="14"/>
    </row>
    <row r="47" spans="1:17" ht="22.5" customHeight="1" x14ac:dyDescent="0.15">
      <c r="A47" s="10" t="s">
        <v>140</v>
      </c>
      <c r="B47" s="13"/>
      <c r="C47" s="11"/>
      <c r="D47" s="11"/>
      <c r="E47" s="11"/>
      <c r="F47" s="11"/>
      <c r="G47" s="11"/>
      <c r="H47" s="11"/>
      <c r="I47" s="15"/>
      <c r="J47" s="11"/>
      <c r="K47" s="11"/>
      <c r="L47" s="11"/>
      <c r="M47" s="15"/>
      <c r="N47" s="12"/>
      <c r="O47" s="12"/>
      <c r="P47" s="10"/>
      <c r="Q47" s="14"/>
    </row>
    <row r="48" spans="1:17" ht="22.5" customHeight="1" x14ac:dyDescent="0.15">
      <c r="A48" s="10" t="s">
        <v>141</v>
      </c>
      <c r="B48" s="13"/>
      <c r="C48" s="11"/>
      <c r="D48" s="11"/>
      <c r="E48" s="11"/>
      <c r="F48" s="11"/>
      <c r="G48" s="11"/>
      <c r="H48" s="11"/>
      <c r="I48" s="15"/>
      <c r="J48" s="11"/>
      <c r="K48" s="11"/>
      <c r="L48" s="11"/>
      <c r="M48" s="15"/>
      <c r="N48" s="12"/>
      <c r="O48" s="12"/>
      <c r="P48" s="10"/>
      <c r="Q48" s="14"/>
    </row>
    <row r="49" spans="1:17" ht="22.5" customHeight="1" x14ac:dyDescent="0.15">
      <c r="A49" s="10" t="s">
        <v>142</v>
      </c>
      <c r="B49" s="13"/>
      <c r="C49" s="11"/>
      <c r="D49" s="11"/>
      <c r="E49" s="11"/>
      <c r="F49" s="11"/>
      <c r="G49" s="11"/>
      <c r="H49" s="11">
        <v>2142755.83</v>
      </c>
      <c r="I49" s="15">
        <v>100.75</v>
      </c>
      <c r="J49" s="11"/>
      <c r="K49" s="11"/>
      <c r="L49" s="11">
        <v>2138759.33</v>
      </c>
      <c r="M49" s="15">
        <v>100.56</v>
      </c>
      <c r="N49" s="12"/>
      <c r="O49" s="12">
        <v>-3996.5</v>
      </c>
      <c r="P49" s="10"/>
      <c r="Q49" s="14"/>
    </row>
    <row r="50" spans="1:17" ht="22.5" customHeight="1" x14ac:dyDescent="0.15">
      <c r="A50" s="10" t="s">
        <v>143</v>
      </c>
      <c r="B50" s="13"/>
      <c r="C50" s="11"/>
      <c r="D50" s="11"/>
      <c r="E50" s="11"/>
      <c r="F50" s="11"/>
      <c r="G50" s="11"/>
      <c r="H50" s="11">
        <v>2130761.6800000002</v>
      </c>
      <c r="I50" s="15">
        <v>100.19</v>
      </c>
      <c r="J50" s="11"/>
      <c r="K50" s="11"/>
      <c r="L50" s="11">
        <v>2126765.1800000002</v>
      </c>
      <c r="M50" s="15">
        <v>100</v>
      </c>
      <c r="N50" s="12"/>
      <c r="O50" s="12">
        <v>-3996.5</v>
      </c>
      <c r="P50" s="10"/>
      <c r="Q50" s="14"/>
    </row>
    <row r="51" spans="1:17" ht="22.5" customHeight="1" x14ac:dyDescent="0.15">
      <c r="A51" s="10" t="s">
        <v>144</v>
      </c>
      <c r="B51" s="13" t="s">
        <v>145</v>
      </c>
      <c r="C51" s="11"/>
      <c r="D51" s="11"/>
      <c r="E51" s="11"/>
      <c r="F51" s="11"/>
      <c r="G51" s="11"/>
      <c r="H51" s="11"/>
      <c r="I51" s="15"/>
      <c r="J51" s="11"/>
      <c r="K51" s="11"/>
      <c r="L51" s="11"/>
      <c r="M51" s="15"/>
      <c r="N51" s="12"/>
      <c r="O51" s="12"/>
      <c r="P51" s="10"/>
      <c r="Q51" s="14"/>
    </row>
    <row r="52" spans="1:17" ht="22.5" customHeight="1" x14ac:dyDescent="0.15">
      <c r="A52" s="10" t="s">
        <v>146</v>
      </c>
      <c r="B52" s="13" t="s">
        <v>62</v>
      </c>
      <c r="C52" s="11"/>
      <c r="D52" s="11"/>
      <c r="E52" s="11"/>
      <c r="F52" s="11"/>
      <c r="G52" s="11"/>
      <c r="H52" s="11"/>
      <c r="I52" s="15"/>
      <c r="J52" s="11"/>
      <c r="K52" s="11"/>
      <c r="L52" s="11"/>
      <c r="M52" s="15"/>
      <c r="N52" s="12"/>
      <c r="O52" s="12"/>
      <c r="P52" s="10"/>
      <c r="Q52" s="14"/>
    </row>
    <row r="53" spans="1:17" ht="22.5" customHeight="1" x14ac:dyDescent="0.15">
      <c r="A53" s="10" t="s">
        <v>147</v>
      </c>
      <c r="B53" s="13" t="s">
        <v>62</v>
      </c>
      <c r="C53" s="11"/>
      <c r="D53" s="11"/>
      <c r="E53" s="11"/>
      <c r="F53" s="11"/>
      <c r="G53" s="11"/>
      <c r="H53" s="11"/>
      <c r="I53" s="15"/>
      <c r="J53" s="11"/>
      <c r="K53" s="11"/>
      <c r="L53" s="11"/>
      <c r="M53" s="15"/>
      <c r="N53" s="12"/>
      <c r="O53" s="12"/>
      <c r="P53" s="10"/>
      <c r="Q53" s="14"/>
    </row>
    <row r="54" spans="1:17" ht="22.5" customHeight="1" x14ac:dyDescent="0.15">
      <c r="A54" s="10" t="s">
        <v>148</v>
      </c>
      <c r="B54" s="13" t="s">
        <v>149</v>
      </c>
      <c r="C54" s="11"/>
      <c r="D54" s="11"/>
      <c r="E54" s="11"/>
      <c r="F54" s="11"/>
      <c r="G54" s="11"/>
      <c r="H54" s="11"/>
      <c r="I54" s="15"/>
      <c r="J54" s="11"/>
      <c r="K54" s="11"/>
      <c r="L54" s="11"/>
      <c r="M54" s="15"/>
      <c r="N54" s="12"/>
      <c r="O54" s="12"/>
      <c r="P54" s="10"/>
      <c r="Q54" s="14"/>
    </row>
    <row r="55" spans="1:17" ht="22.5" customHeight="1" x14ac:dyDescent="0.15">
      <c r="A55" s="10" t="s">
        <v>4</v>
      </c>
      <c r="B55" s="13" t="s">
        <v>62</v>
      </c>
      <c r="C55" s="11"/>
      <c r="D55" s="11"/>
      <c r="E55" s="11"/>
      <c r="F55" s="11"/>
      <c r="G55" s="11"/>
      <c r="H55" s="11"/>
      <c r="I55" s="15"/>
      <c r="J55" s="11"/>
      <c r="K55" s="11"/>
      <c r="L55" s="11"/>
      <c r="M55" s="15"/>
      <c r="N55" s="12"/>
      <c r="O55" s="12"/>
      <c r="P55" s="10"/>
      <c r="Q55" s="14"/>
    </row>
    <row r="56" spans="1:17" ht="22.5" customHeight="1" x14ac:dyDescent="0.15">
      <c r="A56" s="10" t="s">
        <v>150</v>
      </c>
      <c r="B56" s="13" t="s">
        <v>151</v>
      </c>
      <c r="C56" s="11"/>
      <c r="D56" s="11"/>
      <c r="E56" s="11"/>
      <c r="F56" s="11"/>
      <c r="G56" s="11"/>
      <c r="H56" s="11"/>
      <c r="I56" s="15"/>
      <c r="J56" s="11"/>
      <c r="K56" s="11"/>
      <c r="L56" s="11"/>
      <c r="M56" s="15"/>
      <c r="N56" s="12"/>
      <c r="O56" s="12"/>
      <c r="P56" s="10"/>
      <c r="Q56" s="14"/>
    </row>
    <row r="57" spans="1:17" ht="22.5" customHeight="1" x14ac:dyDescent="0.15">
      <c r="A57" s="10" t="s">
        <v>152</v>
      </c>
      <c r="B57" s="13" t="s">
        <v>153</v>
      </c>
      <c r="C57" s="11"/>
      <c r="D57" s="11"/>
      <c r="E57" s="11"/>
      <c r="F57" s="11"/>
      <c r="G57" s="11"/>
      <c r="H57" s="11"/>
      <c r="I57" s="15"/>
      <c r="J57" s="11"/>
      <c r="K57" s="11"/>
      <c r="L57" s="11"/>
      <c r="M57" s="15"/>
      <c r="N57" s="12"/>
      <c r="O57" s="12"/>
      <c r="P57" s="10"/>
      <c r="Q57" s="14"/>
    </row>
    <row r="58" spans="1:17" ht="22.5" customHeight="1" x14ac:dyDescent="0.15">
      <c r="A58" s="10" t="s">
        <v>154</v>
      </c>
      <c r="B58" s="13" t="s">
        <v>155</v>
      </c>
      <c r="C58" s="11"/>
      <c r="D58" s="11"/>
      <c r="E58" s="11"/>
      <c r="F58" s="11"/>
      <c r="G58" s="11"/>
      <c r="H58" s="11"/>
      <c r="I58" s="15"/>
      <c r="J58" s="11"/>
      <c r="K58" s="11"/>
      <c r="L58" s="11"/>
      <c r="M58" s="15"/>
      <c r="N58" s="12"/>
      <c r="O58" s="12"/>
      <c r="P58" s="10"/>
      <c r="Q58" s="14"/>
    </row>
    <row r="59" spans="1:17" ht="22.5" customHeight="1" x14ac:dyDescent="0.15">
      <c r="A59" s="10" t="s">
        <v>156</v>
      </c>
      <c r="B59" s="13" t="s">
        <v>157</v>
      </c>
      <c r="C59" s="11"/>
      <c r="D59" s="11"/>
      <c r="E59" s="11"/>
      <c r="F59" s="11"/>
      <c r="G59" s="11"/>
      <c r="H59" s="11"/>
      <c r="I59" s="15"/>
      <c r="J59" s="11"/>
      <c r="K59" s="11"/>
      <c r="L59" s="11"/>
      <c r="M59" s="15"/>
      <c r="N59" s="12"/>
      <c r="O59" s="12"/>
      <c r="P59" s="10"/>
      <c r="Q59" s="14"/>
    </row>
    <row r="60" spans="1:17" ht="22.5" customHeight="1" x14ac:dyDescent="0.15">
      <c r="A60" s="10" t="s">
        <v>158</v>
      </c>
      <c r="B60" s="13" t="s">
        <v>159</v>
      </c>
      <c r="C60" s="11"/>
      <c r="D60" s="11"/>
      <c r="E60" s="11"/>
      <c r="F60" s="11"/>
      <c r="G60" s="11"/>
      <c r="H60" s="11"/>
      <c r="I60" s="15"/>
      <c r="J60" s="11"/>
      <c r="K60" s="11"/>
      <c r="L60" s="11"/>
      <c r="M60" s="15"/>
      <c r="N60" s="12"/>
      <c r="O60" s="12"/>
      <c r="P60" s="10"/>
      <c r="Q60" s="14"/>
    </row>
    <row r="61" spans="1:17" ht="22.5" customHeight="1" x14ac:dyDescent="0.15">
      <c r="A61" s="10" t="s">
        <v>160</v>
      </c>
      <c r="B61" s="13" t="s">
        <v>161</v>
      </c>
      <c r="C61" s="11"/>
      <c r="D61" s="11"/>
      <c r="E61" s="11"/>
      <c r="F61" s="11"/>
      <c r="G61" s="11"/>
      <c r="H61" s="11"/>
      <c r="I61" s="15"/>
      <c r="J61" s="11"/>
      <c r="K61" s="11"/>
      <c r="L61" s="11"/>
      <c r="M61" s="15"/>
      <c r="N61" s="12"/>
      <c r="O61" s="12"/>
      <c r="P61" s="10"/>
      <c r="Q61" s="14"/>
    </row>
    <row r="62" spans="1:17" ht="22.5" customHeight="1" x14ac:dyDescent="0.15">
      <c r="A62" s="10" t="s">
        <v>162</v>
      </c>
      <c r="B62" s="13" t="s">
        <v>163</v>
      </c>
      <c r="C62" s="11"/>
      <c r="D62" s="11"/>
      <c r="E62" s="11"/>
      <c r="F62" s="11"/>
      <c r="G62" s="11"/>
      <c r="H62" s="11"/>
      <c r="I62" s="15"/>
      <c r="J62" s="11"/>
      <c r="K62" s="11"/>
      <c r="L62" s="11"/>
      <c r="M62" s="15"/>
      <c r="N62" s="12"/>
      <c r="O62" s="12"/>
      <c r="P62" s="10"/>
      <c r="Q62" s="14"/>
    </row>
    <row r="63" spans="1:17" ht="22.5" customHeight="1" x14ac:dyDescent="0.15">
      <c r="A63" s="10" t="s">
        <v>164</v>
      </c>
      <c r="B63" s="13" t="s">
        <v>155</v>
      </c>
      <c r="C63" s="11"/>
      <c r="D63" s="11"/>
      <c r="E63" s="11"/>
      <c r="F63" s="11"/>
      <c r="G63" s="11"/>
      <c r="H63" s="11"/>
      <c r="I63" s="15"/>
      <c r="J63" s="11"/>
      <c r="K63" s="11"/>
      <c r="L63" s="11"/>
      <c r="M63" s="15"/>
      <c r="N63" s="12"/>
      <c r="O63" s="12"/>
      <c r="P63" s="10"/>
      <c r="Q63" s="14"/>
    </row>
    <row r="64" spans="1:17" ht="22.5" customHeight="1" x14ac:dyDescent="0.15">
      <c r="A64" s="10" t="s">
        <v>165</v>
      </c>
      <c r="B64" s="13" t="s">
        <v>136</v>
      </c>
      <c r="C64" s="11"/>
      <c r="D64" s="11"/>
      <c r="E64" s="11"/>
      <c r="F64" s="11"/>
      <c r="G64" s="11"/>
      <c r="H64" s="11"/>
      <c r="I64" s="15"/>
      <c r="J64" s="11"/>
      <c r="K64" s="11"/>
      <c r="L64" s="11"/>
      <c r="M64" s="15"/>
      <c r="N64" s="12"/>
      <c r="O64" s="12"/>
      <c r="P64" s="10"/>
      <c r="Q64" s="14"/>
    </row>
    <row r="65" spans="1:17" ht="22.5" customHeight="1" x14ac:dyDescent="0.15">
      <c r="A65" s="10" t="s">
        <v>166</v>
      </c>
      <c r="B65" s="13" t="s">
        <v>167</v>
      </c>
      <c r="C65" s="11"/>
      <c r="D65" s="11"/>
      <c r="E65" s="11"/>
      <c r="F65" s="11"/>
      <c r="G65" s="11"/>
      <c r="H65" s="11"/>
      <c r="I65" s="15"/>
      <c r="J65" s="11"/>
      <c r="K65" s="11"/>
      <c r="L65" s="11"/>
      <c r="M65" s="15"/>
      <c r="N65" s="12"/>
      <c r="O65" s="12"/>
      <c r="P65" s="10"/>
      <c r="Q65" s="14"/>
    </row>
    <row r="66" spans="1:17" ht="22.5" customHeight="1" x14ac:dyDescent="0.15">
      <c r="A66" s="10" t="s">
        <v>168</v>
      </c>
      <c r="B66" s="13" t="s">
        <v>136</v>
      </c>
      <c r="C66" s="11"/>
      <c r="D66" s="11"/>
      <c r="E66" s="11"/>
      <c r="F66" s="11"/>
      <c r="G66" s="11"/>
      <c r="H66" s="11"/>
      <c r="I66" s="15"/>
      <c r="J66" s="11"/>
      <c r="K66" s="11"/>
      <c r="L66" s="11"/>
      <c r="M66" s="15"/>
      <c r="N66" s="12"/>
      <c r="O66" s="12"/>
      <c r="P66" s="10"/>
      <c r="Q66" s="14"/>
    </row>
    <row r="67" spans="1:17" ht="22.5" customHeight="1" x14ac:dyDescent="0.15">
      <c r="A67" s="10" t="s">
        <v>169</v>
      </c>
      <c r="B67" s="13" t="s">
        <v>170</v>
      </c>
      <c r="C67" s="11"/>
      <c r="D67" s="11"/>
      <c r="E67" s="11"/>
      <c r="F67" s="11"/>
      <c r="G67" s="11"/>
      <c r="H67" s="11"/>
      <c r="I67" s="15"/>
      <c r="J67" s="11"/>
      <c r="K67" s="11"/>
      <c r="L67" s="11"/>
      <c r="M67" s="15"/>
      <c r="N67" s="12"/>
      <c r="O67" s="12"/>
      <c r="P67" s="10"/>
      <c r="Q67" s="14"/>
    </row>
  </sheetData>
  <mergeCells count="16">
    <mergeCell ref="Q5:Q7"/>
    <mergeCell ref="A1:P2"/>
    <mergeCell ref="A3:P3"/>
    <mergeCell ref="A4:B4"/>
    <mergeCell ref="C4:I4"/>
    <mergeCell ref="J4:P4"/>
    <mergeCell ref="A5:A7"/>
    <mergeCell ref="B5:B7"/>
    <mergeCell ref="C5:C7"/>
    <mergeCell ref="D5:D7"/>
    <mergeCell ref="E5:E7"/>
    <mergeCell ref="F5:F7"/>
    <mergeCell ref="I5:I6"/>
    <mergeCell ref="J5:J6"/>
    <mergeCell ref="M5:M6"/>
    <mergeCell ref="P5:P7"/>
  </mergeCells>
  <phoneticPr fontId="2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"/>
  <sheetViews>
    <sheetView workbookViewId="0">
      <selection activeCell="E7" sqref="E7"/>
    </sheetView>
  </sheetViews>
  <sheetFormatPr defaultRowHeight="13.5" x14ac:dyDescent="0.15"/>
  <cols>
    <col min="3" max="3" width="9" style="23"/>
    <col min="4" max="4" width="15.125" bestFit="1" customWidth="1"/>
  </cols>
  <sheetData>
    <row r="2" spans="2:4" x14ac:dyDescent="0.15">
      <c r="B2" t="s">
        <v>38</v>
      </c>
      <c r="C2" s="24">
        <v>1</v>
      </c>
      <c r="D2" s="25" t="s">
        <v>39</v>
      </c>
    </row>
    <row r="3" spans="2:4" x14ac:dyDescent="0.15">
      <c r="C3" s="24">
        <v>2</v>
      </c>
      <c r="D3" s="25" t="s">
        <v>40</v>
      </c>
    </row>
    <row r="4" spans="2:4" x14ac:dyDescent="0.15">
      <c r="C4" s="24">
        <v>3</v>
      </c>
      <c r="D4" s="25" t="s">
        <v>41</v>
      </c>
    </row>
    <row r="5" spans="2:4" x14ac:dyDescent="0.15">
      <c r="C5" s="24">
        <v>4</v>
      </c>
      <c r="D5" s="25" t="s">
        <v>42</v>
      </c>
    </row>
    <row r="6" spans="2:4" x14ac:dyDescent="0.15">
      <c r="C6" s="24">
        <v>5</v>
      </c>
      <c r="D6" s="25" t="s">
        <v>43</v>
      </c>
    </row>
    <row r="8" spans="2:4" x14ac:dyDescent="0.15">
      <c r="B8" t="s">
        <v>44</v>
      </c>
      <c r="C8" s="24" t="s">
        <v>45</v>
      </c>
      <c r="D8" s="25" t="s">
        <v>46</v>
      </c>
    </row>
    <row r="9" spans="2:4" x14ac:dyDescent="0.15">
      <c r="C9" s="24" t="s">
        <v>47</v>
      </c>
      <c r="D9" s="25" t="s">
        <v>48</v>
      </c>
    </row>
    <row r="10" spans="2:4" x14ac:dyDescent="0.15">
      <c r="C10" s="24" t="s">
        <v>49</v>
      </c>
      <c r="D10" s="25" t="s">
        <v>50</v>
      </c>
    </row>
    <row r="11" spans="2:4" x14ac:dyDescent="0.15">
      <c r="C11" s="24">
        <v>4</v>
      </c>
      <c r="D11" s="25" t="s">
        <v>51</v>
      </c>
    </row>
    <row r="12" spans="2:4" x14ac:dyDescent="0.15">
      <c r="C12" s="24" t="s">
        <v>52</v>
      </c>
      <c r="D12" s="25" t="s">
        <v>53</v>
      </c>
    </row>
    <row r="13" spans="2:4" x14ac:dyDescent="0.15">
      <c r="C13" s="24" t="s">
        <v>54</v>
      </c>
      <c r="D13" s="25" t="s">
        <v>55</v>
      </c>
    </row>
    <row r="14" spans="2:4" ht="14.25" thickBot="1" x14ac:dyDescent="0.2">
      <c r="C14" s="24" t="s">
        <v>56</v>
      </c>
      <c r="D14" s="25" t="s">
        <v>57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字段说明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用户</dc:creator>
  <cp:keywords/>
  <dc:description/>
  <cp:lastModifiedBy>洪芳芳</cp:lastModifiedBy>
  <dcterms:created xsi:type="dcterms:W3CDTF">2021-06-21T03:23:30Z</dcterms:created>
  <dcterms:modified xsi:type="dcterms:W3CDTF">2022-10-10T03:07:13Z</dcterms:modified>
  <cp:category/>
  <cp:contentStatus/>
</cp:coreProperties>
</file>